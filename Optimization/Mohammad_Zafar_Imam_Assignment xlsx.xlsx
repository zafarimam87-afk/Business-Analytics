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6235dca776509a9/Desktop/Second Semister/Optimization Method/Module 1/Assignment/Final 2/Submission/"/>
    </mc:Choice>
  </mc:AlternateContent>
  <xr:revisionPtr revIDLastSave="684" documentId="11_C90156BC7B61561D12149767A2E2566F19BAF0E6" xr6:coauthVersionLast="47" xr6:coauthVersionMax="47" xr10:uidLastSave="{2B647F6C-945E-4C16-9CD1-6BCA9C2A66CB}"/>
  <bookViews>
    <workbookView xWindow="-108" yWindow="-108" windowWidth="23256" windowHeight="12456" xr2:uid="{00000000-000D-0000-FFFF-FFFF00000000}"/>
  </bookViews>
  <sheets>
    <sheet name="Question1" sheetId="1" r:id="rId1"/>
    <sheet name="Answer Report 1" sheetId="5" r:id="rId2"/>
    <sheet name="Sensitivity Report 1" sheetId="6" r:id="rId3"/>
    <sheet name="Question2" sheetId="2" r:id="rId4"/>
    <sheet name="Question3" sheetId="3" r:id="rId5"/>
    <sheet name="Question4" sheetId="4" r:id="rId6"/>
  </sheets>
  <definedNames>
    <definedName name="solver_adj" localSheetId="0" hidden="1">Question1!$B$3:$B$4</definedName>
    <definedName name="solver_adj" localSheetId="3" hidden="1">Question2!$B$3:$B$4</definedName>
    <definedName name="solver_adj" localSheetId="4" hidden="1">Question3!$B$3:$B$4</definedName>
    <definedName name="solver_adj" localSheetId="5" hidden="1">Question4!$B$3:$B$4</definedName>
    <definedName name="solver_cvg" localSheetId="0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3" hidden="1">2</definedName>
    <definedName name="solver_drv" localSheetId="4" hidden="1">1</definedName>
    <definedName name="solver_drv" localSheetId="5" hidden="1">1</definedName>
    <definedName name="solver_eng" localSheetId="0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0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Question1!$B$8:$B$10</definedName>
    <definedName name="solver_lhs1" localSheetId="3" hidden="1">Question2!$B$8:$B$10</definedName>
    <definedName name="solver_lhs1" localSheetId="4" hidden="1">Question3!$B$10</definedName>
    <definedName name="solver_lhs1" localSheetId="5" hidden="1">Question4!$B$10</definedName>
    <definedName name="solver_lhs2" localSheetId="0" hidden="1">Question1!$B$8:$B$11</definedName>
    <definedName name="solver_lhs2" localSheetId="4" hidden="1">Question3!$B$8:$B$9</definedName>
    <definedName name="solver_lhs2" localSheetId="5" hidden="1">Question4!$B$8</definedName>
    <definedName name="solver_lhs3" localSheetId="4" hidden="1">Question3!$B$8:$B$9</definedName>
    <definedName name="solver_lhs3" localSheetId="5" hidden="1">Question4!$B$9</definedName>
    <definedName name="solver_mip" localSheetId="0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2</definedName>
    <definedName name="solver_num" localSheetId="3" hidden="1">1</definedName>
    <definedName name="solver_num" localSheetId="4" hidden="1">2</definedName>
    <definedName name="solver_num" localSheetId="5" hidden="1">3</definedName>
    <definedName name="solver_nwt" localSheetId="0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Question1!$B$6</definedName>
    <definedName name="solver_opt" localSheetId="3" hidden="1">Question2!$B$6</definedName>
    <definedName name="solver_opt" localSheetId="4" hidden="1">Question3!$B$6</definedName>
    <definedName name="solver_opt" localSheetId="5" hidden="1">Question4!$B$6</definedName>
    <definedName name="solver_pre" localSheetId="0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3" hidden="1">2</definedName>
    <definedName name="solver_rbv" localSheetId="4" hidden="1">1</definedName>
    <definedName name="solver_rbv" localSheetId="5" hidden="1">1</definedName>
    <definedName name="solver_rel1" localSheetId="0" hidden="1">1</definedName>
    <definedName name="solver_rel1" localSheetId="3" hidden="1">1</definedName>
    <definedName name="solver_rel1" localSheetId="4" hidden="1">1</definedName>
    <definedName name="solver_rel1" localSheetId="5" hidden="1">3</definedName>
    <definedName name="solver_rel2" localSheetId="0" hidden="1">1</definedName>
    <definedName name="solver_rel2" localSheetId="4" hidden="1">3</definedName>
    <definedName name="solver_rel2" localSheetId="5" hidden="1">1</definedName>
    <definedName name="solver_rel3" localSheetId="4" hidden="1">3</definedName>
    <definedName name="solver_rel3" localSheetId="5" hidden="1">3</definedName>
    <definedName name="solver_rhs1" localSheetId="0" hidden="1">Question1!$C$8:$C$10</definedName>
    <definedName name="solver_rhs1" localSheetId="3" hidden="1">Question2!$C$8:$C$10</definedName>
    <definedName name="solver_rhs1" localSheetId="4" hidden="1">Question3!$C$10</definedName>
    <definedName name="solver_rhs1" localSheetId="5" hidden="1">Question4!$C$10</definedName>
    <definedName name="solver_rhs2" localSheetId="0" hidden="1">Question1!$C$8:$C$11</definedName>
    <definedName name="solver_rhs2" localSheetId="4" hidden="1">Question3!$C$8:$C$9</definedName>
    <definedName name="solver_rhs2" localSheetId="5" hidden="1">Question4!$C$8</definedName>
    <definedName name="solver_rhs3" localSheetId="4" hidden="1">Question3!$C$8:$C$9</definedName>
    <definedName name="solver_rhs3" localSheetId="5" hidden="1">Question4!$C$9</definedName>
    <definedName name="solver_rlx" localSheetId="0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3" hidden="1">2</definedName>
    <definedName name="solver_scl" localSheetId="4" hidden="1">1</definedName>
    <definedName name="solver_scl" localSheetId="5" hidden="1">1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1</definedName>
    <definedName name="solver_typ" localSheetId="3" hidden="1">1</definedName>
    <definedName name="solver_typ" localSheetId="4" hidden="1">2</definedName>
    <definedName name="solver_typ" localSheetId="5" hidden="1">1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1" i="1"/>
  <c r="B10" i="1"/>
  <c r="B9" i="1"/>
  <c r="B8" i="1"/>
  <c r="B6" i="1"/>
  <c r="B17" i="1" s="1"/>
  <c r="B16" i="4"/>
  <c r="B15" i="4"/>
  <c r="B10" i="4"/>
  <c r="B9" i="4"/>
  <c r="B8" i="4"/>
  <c r="B6" i="4"/>
  <c r="B17" i="4" s="1"/>
  <c r="B16" i="3"/>
  <c r="B15" i="3"/>
  <c r="B10" i="3"/>
  <c r="B9" i="3"/>
  <c r="B8" i="3"/>
  <c r="B6" i="3"/>
  <c r="B17" i="3" s="1"/>
  <c r="B15" i="2"/>
  <c r="B14" i="2"/>
  <c r="B10" i="2"/>
  <c r="B9" i="2"/>
  <c r="B8" i="2"/>
  <c r="B6" i="2"/>
  <c r="B16" i="2" s="1"/>
</calcChain>
</file>

<file path=xl/sharedStrings.xml><?xml version="1.0" encoding="utf-8"?>
<sst xmlns="http://schemas.openxmlformats.org/spreadsheetml/2006/main" count="234" uniqueCount="171">
  <si>
    <t>Total Profit — Z  (Objective Cell)</t>
  </si>
  <si>
    <t>Constraint</t>
  </si>
  <si>
    <t>Used (LHS formula)</t>
  </si>
  <si>
    <t>Limit (RHS)</t>
  </si>
  <si>
    <t>Maximum Profit (Z)</t>
  </si>
  <si>
    <t>▶  MATHEMATICAL FORMULATION</t>
  </si>
  <si>
    <t>Decision Variables:</t>
  </si>
  <si>
    <t>—</t>
  </si>
  <si>
    <t>Objective Function:</t>
  </si>
  <si>
    <t>Subject to Constraints:</t>
  </si>
  <si>
    <t>Non-negativity:  X₁ ≥ 0,  X₂ ≥ 0</t>
  </si>
  <si>
    <t>QUESTION 2: Simpson's &amp; Sons Financial Company</t>
  </si>
  <si>
    <t>X₁ = Number of special risk insurance policies</t>
  </si>
  <si>
    <t>X₂ = Number of mortgage policies</t>
  </si>
  <si>
    <t>Department</t>
  </si>
  <si>
    <t>Special Risk (X₁)</t>
  </si>
  <si>
    <t>Mortgage (X₂)</t>
  </si>
  <si>
    <t>Underwriting</t>
  </si>
  <si>
    <t>Administration</t>
  </si>
  <si>
    <t>Claims</t>
  </si>
  <si>
    <t>Profit/unit</t>
  </si>
  <si>
    <t>$5</t>
  </si>
  <si>
    <t>$2</t>
  </si>
  <si>
    <t xml:space="preserve">  Maximize Z = 5·X₁ + 2·X₂</t>
  </si>
  <si>
    <t>QUESTION 3: Jason's Diet Problem</t>
  </si>
  <si>
    <t>X₁ = Number of daily servings of steak</t>
  </si>
  <si>
    <t>X₂ = Number of daily servings of potatoes</t>
  </si>
  <si>
    <t>Ingredient</t>
  </si>
  <si>
    <t>Steak (X₁)</t>
  </si>
  <si>
    <t>Potatoes (X₂)</t>
  </si>
  <si>
    <t>Daily Requirement</t>
  </si>
  <si>
    <t>Carbohydrates (g)</t>
  </si>
  <si>
    <t>≥ 50</t>
  </si>
  <si>
    <t>Protein (g)</t>
  </si>
  <si>
    <t>≥ 40</t>
  </si>
  <si>
    <t>Fat (g)</t>
  </si>
  <si>
    <t>≤ 60</t>
  </si>
  <si>
    <t>Cost per serving</t>
  </si>
  <si>
    <t>$8</t>
  </si>
  <si>
    <t>$4</t>
  </si>
  <si>
    <t xml:space="preserve">  Minimize Z = 8·X₁ + 4·X₂</t>
  </si>
  <si>
    <t>QUESTION 4: Investment Problem</t>
  </si>
  <si>
    <t>X₁ = Dollars invested in stocks</t>
  </si>
  <si>
    <t>X₂ = Dollars invested in loans</t>
  </si>
  <si>
    <t xml:space="preserve">  Maximize Z = 0.10·X₁ + 0.05·X₂</t>
  </si>
  <si>
    <t>X1 (Special Risk Insurance)</t>
  </si>
  <si>
    <t>X2 (Mortgage Policies)</t>
  </si>
  <si>
    <t>Underwriting  ≤ 2400</t>
  </si>
  <si>
    <t>Administration ≤ 800</t>
  </si>
  <si>
    <t>Claims  ≤ 1200</t>
  </si>
  <si>
    <t>X₁ (Special Risk Insurance)</t>
  </si>
  <si>
    <t>policies</t>
  </si>
  <si>
    <t>X₂ (Mortgage Policies)</t>
  </si>
  <si>
    <t>Work Requirements:</t>
  </si>
  <si>
    <t>Hours Available</t>
  </si>
  <si>
    <t>(a) Objective Function:</t>
  </si>
  <si>
    <t xml:space="preserve">  Underwriting:    3·X₁ + 2·X₂  ≤ 2400</t>
  </si>
  <si>
    <t xml:space="preserve">  Administration:  0·X₁ + 1·X₂  ≤  800</t>
  </si>
  <si>
    <t xml:space="preserve">  Claims:          2·X₁ + 0·X₂  ≤ 1200</t>
  </si>
  <si>
    <t>(c) Sensitivity Analysis — Shadow Prices:</t>
  </si>
  <si>
    <t xml:space="preserve">  Shadow price = how much Z increases per 1 extra unit of that resource.</t>
  </si>
  <si>
    <t xml:space="preserve">  A constraint with 0 slack (fully used) will have a positive shadow price.</t>
  </si>
  <si>
    <t xml:space="preserve">  A constraint with leftover capacity (slack &gt; 0) will have shadow price = 0.</t>
  </si>
  <si>
    <t>Microsoft Excel 16.0 Answer Report</t>
  </si>
  <si>
    <t>Worksheet: [Zafar_Imam_Assignment (1).xlsx]Question2</t>
  </si>
  <si>
    <t>Report Created: 3/21/2026 10:40:37 PM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</si>
  <si>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</si>
  <si>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</si>
  <si>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</si>
  <si>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</si>
  <si>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</si>
  <si>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</si>
  <si>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</si>
  <si>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</si>
  <si>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</si>
  <si>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</si>
  <si>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</si>
  <si>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</si>
  <si>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</si>
  <si>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</si>
  <si>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</si>
  <si>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</si>
  <si>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</si>
  <si>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</si>
  <si>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</si>
  <si>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</si>
  <si>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$B$6</t>
  </si>
  <si>
    <t>$B$3</t>
  </si>
  <si>
    <t>Contin</t>
  </si>
  <si>
    <t>$B$4</t>
  </si>
  <si>
    <t>$B$8</t>
  </si>
  <si>
    <t>Underwriting  ≤ 2400 Used (LHS formula)</t>
  </si>
  <si>
    <t>$B$8&lt;=$C$8</t>
  </si>
  <si>
    <t>Binding</t>
  </si>
  <si>
    <t>$B$9</t>
  </si>
  <si>
    <t>Administration ≤ 800 Used (LHS formula)</t>
  </si>
  <si>
    <t>$B$9&lt;=$C$9</t>
  </si>
  <si>
    <t>Not Binding</t>
  </si>
  <si>
    <t>$B$10</t>
  </si>
  <si>
    <t>Claims  ≤ 1200 Used (LHS formula)</t>
  </si>
  <si>
    <t>$B$10&lt;=$C$10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</si>
  <si>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</si>
  <si>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</si>
  <si>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</si>
  <si>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</si>
  <si>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</si>
  <si>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</si>
  <si>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</si>
  <si>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</si>
  <si>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</si>
  <si>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</si>
  <si>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</si>
  <si>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</si>
  <si>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R.H. Side</t>
  </si>
  <si>
    <t>X1 (Steak servings)</t>
  </si>
  <si>
    <t>X2 (Potato servings)</t>
  </si>
  <si>
    <t>Total Cost — Z  (Objective Cell  ←  MINIMIZE)</t>
  </si>
  <si>
    <t>Value (LHS formula)</t>
  </si>
  <si>
    <t>Carbohydrates ≥ 50</t>
  </si>
  <si>
    <t>Protein       ≥ 40</t>
  </si>
  <si>
    <t>Fat           ≤ 60</t>
  </si>
  <si>
    <t>X₁ (Steak servings)</t>
  </si>
  <si>
    <t>servings/day</t>
  </si>
  <si>
    <t>X₂ (Potato servings)</t>
  </si>
  <si>
    <t>Minimum Cost (Z)</t>
  </si>
  <si>
    <t>Nutritional Information (per serving):</t>
  </si>
  <si>
    <t xml:space="preserve">  Carbohydrates:   5·X₁ + 15·X₂  ≥  50</t>
  </si>
  <si>
    <t xml:space="preserve">  Protein:        20·X₁ +  5·X₂  ≥  40</t>
  </si>
  <si>
    <t xml:space="preserve">  Fat:            15·X₁ +  2·X₂  ≤  60</t>
  </si>
  <si>
    <t>X1 ($ invested in Stocks)</t>
  </si>
  <si>
    <t>X2 ($ invested in Loans)</t>
  </si>
  <si>
    <t>Value (LHS)</t>
  </si>
  <si>
    <t>Budget  ≤ $1000</t>
  </si>
  <si>
    <t>Min. Stocks  ≥ 30%</t>
  </si>
  <si>
    <t>Min. Loans  ≥ $400</t>
  </si>
  <si>
    <t>X₁ (Investment in Stocks)</t>
  </si>
  <si>
    <t>X₂ (Investment in Loans)</t>
  </si>
  <si>
    <t>Parameters:</t>
  </si>
  <si>
    <t>Total budget: $1,000</t>
  </si>
  <si>
    <t>Stocks yield: $0.10 per dollar (10%)</t>
  </si>
  <si>
    <t>Loans yield:  $0.05 per dollar (5%)</t>
  </si>
  <si>
    <t>Minimum stocks: at least 30% of total investment</t>
  </si>
  <si>
    <t>Minimum loans:  at least $400</t>
  </si>
  <si>
    <t xml:space="preserve">  Budget:       X₁ + X₂                    ≤ 1000</t>
  </si>
  <si>
    <t xml:space="preserve">  Min. Stocks:  X₁ ≥ 0.30·(X₁+X₂)</t>
  </si>
  <si>
    <t xml:space="preserve">                ⇒  0.70·X₁ − 0.30·X₂  ≥  0</t>
  </si>
  <si>
    <t xml:space="preserve">  Min. Loans:   X₂                          ≥  400</t>
  </si>
  <si>
    <t xml:space="preserve">(b) Solver solution </t>
  </si>
  <si>
    <t>QUESTION 1: Linear Programming Problem</t>
  </si>
  <si>
    <t>X1</t>
  </si>
  <si>
    <t>X2</t>
  </si>
  <si>
    <t>Objective Z = 2X₁ + X₂  (Maximize)</t>
  </si>
  <si>
    <t>X₂ ≤ 10</t>
  </si>
  <si>
    <t>2X₁ + 5X₂ ≤ 60</t>
  </si>
  <si>
    <t>X₁ + X₂ ≤ 18</t>
  </si>
  <si>
    <t>3X₁ + X₂ ≤ 44</t>
  </si>
  <si>
    <t>X₁</t>
  </si>
  <si>
    <t>X₂</t>
  </si>
  <si>
    <t>Maximum Z</t>
  </si>
  <si>
    <t>▶  PROBLEM STATEMENT &amp; MATHEMATICAL FORMULATION</t>
  </si>
  <si>
    <t xml:space="preserve">  Maximize  Z = 2x₁ + x₂</t>
  </si>
  <si>
    <t>Subject to:</t>
  </si>
  <si>
    <t xml:space="preserve">  x₂          ≤ 10</t>
  </si>
  <si>
    <t xml:space="preserve">  2x₁ + 5x₂  ≤ 60</t>
  </si>
  <si>
    <t xml:space="preserve">   x₁ +  x₂  ≤ 18</t>
  </si>
  <si>
    <t xml:space="preserve">  3x₁ +  x₂  ≤ 44</t>
  </si>
  <si>
    <t>Non-negativity:  x₁ ≥ 0,  x₂ ≥ 0</t>
  </si>
  <si>
    <t xml:space="preserve">▶  SOLVER SETUP  </t>
  </si>
  <si>
    <t xml:space="preserve">▶  SOLVER RESULT  </t>
  </si>
  <si>
    <t xml:space="preserve">▶  SOLVER SETUP </t>
  </si>
  <si>
    <t xml:space="preserve">▶  SOLVER 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</si>
</sst>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1F5C00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i/>
      <sz val="9"/>
      <color rgb="FF666666"/>
      <name val="Arial"/>
      <family val="2"/>
    </font>
    <font>
      <i/>
      <sz val="9"/>
      <color rgb="FF854F0B"/>
      <name val="Arial"/>
      <family val="2"/>
    </font>
    <font>
      <sz val="10"/>
      <color rgb="FF1F3864"/>
      <name val="Courier New"/>
      <family val="3"/>
    </font>
    <font>
      <i/>
      <sz val="9"/>
      <color rgb="FF2F5496"/>
      <name val="Arial"/>
      <family val="2"/>
    </font>
    <font>
      <b/>
      <sz val="10"/>
      <color rgb="FF2F5496"/>
      <name val="Arial"/>
      <family val="2"/>
    </font>
    <font>
      <sz val="10"/>
      <color rgb="FF222222"/>
      <name val="Arial"/>
      <family val="2"/>
    </font>
    <font>
      <sz val="10"/>
      <color rgb="FF222222"/>
      <name val="Courier New"/>
      <family val="3"/>
    </font>
    <font>
      <b/>
      <sz val="11"/>
      <color theme="1"/>
      <name val="Calibri"/>
      <family val="2"/>
      <scheme val="minor"/>
    </font>
    <font>
      <b/>
      <sz val="10"/>
      <color rgb="FF222222"/>
      <name val="Arial"/>
      <family val="2"/>
    </font>
    <font>
      <b/>
      <sz val="11"/>
      <color indexed="18"/>
      <name val="Calibri"/>
      <family val="2"/>
      <scheme val="minor"/>
    </font>
    <font>
      <b/>
      <sz val="10"/>
      <color rgb="FF7B3F00"/>
      <name val="Arial"/>
      <family val="2"/>
    </font>
    <font>
      <b/>
      <sz val="11"/>
      <color rgb="FF7B3F00"/>
      <name val="Arial"/>
      <family val="2"/>
    </font>
    <font>
      <b/>
      <i/>
      <sz val="9"/>
      <color rgb="FF7B3F00"/>
      <name val="Arial"/>
      <family val="2"/>
    </font>
    <font>
      <b/>
      <i/>
      <sz val="9"/>
      <color rgb="FF1B5E20"/>
      <name val="Arial"/>
      <family val="2"/>
    </font>
    <font>
      <i/>
      <sz val="9"/>
      <color rgb="FF1F5C00"/>
      <name val="Arial"/>
      <family val="2"/>
    </font>
    <font>
      <b/>
      <i/>
      <sz val="9"/>
      <color rgb="FF1F3864"/>
      <name val="Arial"/>
      <family val="2"/>
    </font>
    <font>
      <i/>
      <sz val="9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9C4"/>
      </patternFill>
    </fill>
    <fill>
      <patternFill patternType="solid">
        <fgColor rgb="FFE2EFDA"/>
      </patternFill>
    </fill>
    <fill>
      <patternFill patternType="solid">
        <fgColor rgb="FFFFF3E0"/>
      </patternFill>
    </fill>
    <fill>
      <patternFill patternType="solid">
        <fgColor rgb="FFD9E1F2"/>
      </patternFill>
    </fill>
    <fill>
      <patternFill patternType="solid">
        <fgColor rgb="FF1D6F42"/>
      </patternFill>
    </fill>
    <fill>
      <patternFill patternType="solid">
        <fgColor rgb="FF7B3F00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0" xfId="0" applyFont="1"/>
    <xf numFmtId="0" fontId="0" fillId="0" borderId="5" xfId="0" applyBorder="1"/>
    <xf numFmtId="0" fontId="16" fillId="0" borderId="4" xfId="0" applyFont="1" applyBorder="1" applyAlignment="1">
      <alignment horizontal="center"/>
    </xf>
    <xf numFmtId="0" fontId="0" fillId="0" borderId="6" xfId="0" applyBorder="1"/>
    <xf numFmtId="164" fontId="0" fillId="0" borderId="5" xfId="0" applyNumberForma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6" borderId="1" xfId="0" applyFont="1" applyFill="1" applyBorder="1" applyAlignment="1">
      <alignment horizontal="left" vertical="center" wrapText="1"/>
    </xf>
    <xf numFmtId="164" fontId="18" fillId="6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/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/>
    </xf>
    <xf numFmtId="0" fontId="5" fillId="9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1" zoomScale="97" workbookViewId="0">
      <selection activeCell="A12" sqref="A12:D12"/>
    </sheetView>
  </sheetViews>
  <sheetFormatPr defaultRowHeight="14.4" x14ac:dyDescent="0.3"/>
  <cols>
    <col min="1" max="1" width="30" customWidth="1"/>
    <col min="2" max="2" width="20" customWidth="1"/>
    <col min="3" max="3" width="14" customWidth="1"/>
    <col min="4" max="4" width="30" customWidth="1"/>
  </cols>
  <sheetData>
    <row r="1" spans="1:4" ht="28.05" customHeight="1" x14ac:dyDescent="0.3">
      <c r="A1" s="31" t="s">
        <v>148</v>
      </c>
      <c r="B1" s="32"/>
      <c r="C1" s="32"/>
      <c r="D1" s="32"/>
    </row>
    <row r="2" spans="1:4" ht="18" customHeight="1" x14ac:dyDescent="0.3">
      <c r="A2" s="34"/>
      <c r="B2" s="32"/>
      <c r="C2" s="32"/>
      <c r="D2" s="32"/>
    </row>
    <row r="3" spans="1:4" ht="19.95" customHeight="1" x14ac:dyDescent="0.3">
      <c r="A3" s="3" t="s">
        <v>149</v>
      </c>
      <c r="B3" s="1">
        <v>13</v>
      </c>
      <c r="C3" s="35"/>
      <c r="D3" s="32"/>
    </row>
    <row r="4" spans="1:4" ht="19.95" customHeight="1" x14ac:dyDescent="0.3">
      <c r="A4" s="3" t="s">
        <v>150</v>
      </c>
      <c r="B4" s="1">
        <v>5</v>
      </c>
      <c r="C4" s="35"/>
      <c r="D4" s="32"/>
    </row>
    <row r="5" spans="1:4" ht="12" customHeight="1" x14ac:dyDescent="0.3"/>
    <row r="6" spans="1:4" ht="39" customHeight="1" x14ac:dyDescent="0.3">
      <c r="A6" s="4" t="s">
        <v>151</v>
      </c>
      <c r="B6" s="29">
        <f>2*B3+1*B4</f>
        <v>31</v>
      </c>
      <c r="C6" s="39"/>
      <c r="D6" s="40"/>
    </row>
    <row r="7" spans="1:4" ht="18" customHeight="1" x14ac:dyDescent="0.3">
      <c r="A7" s="6" t="s">
        <v>1</v>
      </c>
      <c r="B7" s="6" t="s">
        <v>2</v>
      </c>
      <c r="C7" s="6" t="s">
        <v>3</v>
      </c>
      <c r="D7" s="12"/>
    </row>
    <row r="8" spans="1:4" ht="18" customHeight="1" x14ac:dyDescent="0.3">
      <c r="A8" s="7" t="s">
        <v>152</v>
      </c>
      <c r="B8" s="2">
        <f>B4</f>
        <v>5</v>
      </c>
      <c r="C8" s="8">
        <v>10</v>
      </c>
      <c r="D8" s="30"/>
    </row>
    <row r="9" spans="1:4" ht="18" customHeight="1" x14ac:dyDescent="0.3">
      <c r="A9" s="7" t="s">
        <v>153</v>
      </c>
      <c r="B9" s="2">
        <f>2*B3+5*B4</f>
        <v>51</v>
      </c>
      <c r="C9" s="8">
        <v>60</v>
      </c>
      <c r="D9" s="30"/>
    </row>
    <row r="10" spans="1:4" ht="18" customHeight="1" x14ac:dyDescent="0.3">
      <c r="A10" s="7" t="s">
        <v>154</v>
      </c>
      <c r="B10" s="2">
        <f>B3+B4</f>
        <v>18</v>
      </c>
      <c r="C10" s="8">
        <v>18</v>
      </c>
      <c r="D10" s="30"/>
    </row>
    <row r="11" spans="1:4" ht="16.05" customHeight="1" x14ac:dyDescent="0.3">
      <c r="A11" s="7" t="s">
        <v>155</v>
      </c>
      <c r="B11" s="2">
        <f>3*B3+B4</f>
        <v>44</v>
      </c>
      <c r="C11" s="8">
        <v>44</v>
      </c>
      <c r="D11" s="30"/>
    </row>
    <row r="12" spans="1:4" ht="10.050000000000001" customHeight="1" x14ac:dyDescent="0.3">
      <c r="A12" s="42"/>
      <c r="B12" s="32"/>
      <c r="C12" s="32"/>
      <c r="D12" s="32"/>
    </row>
    <row r="13" spans="1:4" ht="18" customHeight="1" x14ac:dyDescent="0.3"/>
    <row r="14" spans="1:4" ht="19.95" customHeight="1" x14ac:dyDescent="0.3">
      <c r="A14" s="34"/>
      <c r="B14" s="32"/>
      <c r="C14" s="32"/>
      <c r="D14" s="32"/>
    </row>
    <row r="15" spans="1:4" ht="19.95" customHeight="1" x14ac:dyDescent="0.3">
      <c r="A15" s="4" t="s">
        <v>156</v>
      </c>
      <c r="B15" s="29">
        <f>B3</f>
        <v>13</v>
      </c>
    </row>
    <row r="16" spans="1:4" ht="19.95" customHeight="1" x14ac:dyDescent="0.3">
      <c r="A16" s="4" t="s">
        <v>157</v>
      </c>
      <c r="B16" s="29">
        <f>B4</f>
        <v>5</v>
      </c>
    </row>
    <row r="17" spans="1:4" ht="13.95" customHeight="1" x14ac:dyDescent="0.3">
      <c r="A17" s="4" t="s">
        <v>158</v>
      </c>
      <c r="B17" s="29">
        <f>B6</f>
        <v>31</v>
      </c>
    </row>
    <row r="18" spans="1:4" ht="18" customHeight="1" x14ac:dyDescent="0.3"/>
    <row r="19" spans="1:4" ht="16.05" customHeight="1" x14ac:dyDescent="0.3">
      <c r="A19" s="36" t="s">
        <v>159</v>
      </c>
      <c r="B19" s="32"/>
      <c r="C19" s="32"/>
      <c r="D19" s="32"/>
    </row>
    <row r="20" spans="1:4" ht="16.05" customHeight="1" x14ac:dyDescent="0.3">
      <c r="A20" s="38" t="s">
        <v>8</v>
      </c>
      <c r="B20" s="32"/>
      <c r="C20" s="32"/>
      <c r="D20" s="32"/>
    </row>
    <row r="21" spans="1:4" ht="16.05" customHeight="1" x14ac:dyDescent="0.3">
      <c r="A21" s="33" t="s">
        <v>160</v>
      </c>
      <c r="B21" s="32"/>
      <c r="C21" s="32"/>
      <c r="D21" s="32"/>
    </row>
    <row r="22" spans="1:4" ht="16.05" customHeight="1" x14ac:dyDescent="0.3">
      <c r="A22" s="41"/>
      <c r="B22" s="32"/>
      <c r="C22" s="32"/>
      <c r="D22" s="32"/>
    </row>
    <row r="23" spans="1:4" ht="16.05" customHeight="1" x14ac:dyDescent="0.3">
      <c r="A23" s="38" t="s">
        <v>161</v>
      </c>
      <c r="B23" s="32"/>
      <c r="C23" s="32"/>
      <c r="D23" s="32"/>
    </row>
    <row r="24" spans="1:4" ht="18" customHeight="1" x14ac:dyDescent="0.3">
      <c r="A24" s="33" t="s">
        <v>162</v>
      </c>
      <c r="B24" s="32"/>
      <c r="C24" s="32"/>
      <c r="D24" s="32"/>
    </row>
    <row r="25" spans="1:4" ht="16.05" customHeight="1" x14ac:dyDescent="0.3">
      <c r="A25" s="33" t="s">
        <v>163</v>
      </c>
      <c r="B25" s="32"/>
      <c r="C25" s="32"/>
      <c r="D25" s="32"/>
    </row>
    <row r="26" spans="1:4" ht="16.05" customHeight="1" x14ac:dyDescent="0.3">
      <c r="A26" s="33" t="s">
        <v>164</v>
      </c>
      <c r="B26" s="32"/>
      <c r="C26" s="32"/>
      <c r="D26" s="32"/>
    </row>
    <row r="27" spans="1:4" ht="16.05" customHeight="1" x14ac:dyDescent="0.3">
      <c r="A27" s="33" t="s">
        <v>165</v>
      </c>
      <c r="B27" s="32"/>
      <c r="C27" s="32"/>
      <c r="D27" s="32"/>
    </row>
    <row r="28" spans="1:4" ht="16.05" customHeight="1" x14ac:dyDescent="0.3">
      <c r="A28" s="41"/>
      <c r="B28" s="32"/>
      <c r="C28" s="32"/>
      <c r="D28" s="32"/>
    </row>
    <row r="29" spans="1:4" x14ac:dyDescent="0.3">
      <c r="A29" s="38" t="s">
        <v>166</v>
      </c>
      <c r="B29" s="32"/>
      <c r="C29" s="32"/>
      <c r="D29" s="32"/>
    </row>
    <row r="30" spans="1:4" ht="16.05" customHeight="1" x14ac:dyDescent="0.3"/>
    <row r="31" spans="1:4" ht="16.05" customHeight="1" x14ac:dyDescent="0.3">
      <c r="A31" s="37"/>
      <c r="B31" s="32"/>
      <c r="C31" s="32"/>
      <c r="D31" s="32"/>
    </row>
    <row r="32" spans="1:4" ht="16.05" customHeight="1" x14ac:dyDescent="0.3"/>
    <row r="33" ht="16.05" customHeight="1" x14ac:dyDescent="0.3"/>
    <row r="34" ht="16.05" customHeight="1" x14ac:dyDescent="0.3"/>
    <row r="35" ht="16.05" customHeight="1" x14ac:dyDescent="0.3"/>
    <row r="36" ht="16.05" customHeight="1" x14ac:dyDescent="0.3"/>
    <row r="37" ht="16.05" customHeight="1" x14ac:dyDescent="0.3"/>
    <row r="38" ht="16.05" customHeight="1" x14ac:dyDescent="0.3"/>
  </sheetData>
  <mergeCells count="19">
    <mergeCell ref="A31:D31"/>
    <mergeCell ref="A23:D23"/>
    <mergeCell ref="C6:D6"/>
    <mergeCell ref="A22:D22"/>
    <mergeCell ref="A20:D20"/>
    <mergeCell ref="A12:D12"/>
    <mergeCell ref="A14:D14"/>
    <mergeCell ref="A25:D25"/>
    <mergeCell ref="A26:D26"/>
    <mergeCell ref="A27:D27"/>
    <mergeCell ref="A28:D28"/>
    <mergeCell ref="A29:D29"/>
    <mergeCell ref="A1:D1"/>
    <mergeCell ref="A21:D21"/>
    <mergeCell ref="A2:D2"/>
    <mergeCell ref="C3:D3"/>
    <mergeCell ref="A24:D24"/>
    <mergeCell ref="A19:D1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5843-11EB-4F7C-9A19-2F79223E22CF}">
  <dimension ref="A1:G29"/>
  <sheetViews>
    <sheetView showGridLines="0" workbookViewId="0">
      <selection activeCell="I7" sqref="I7"/>
    </sheetView>
  </sheetViews>
  <sheetFormatPr defaultRowHeight="14.4" x14ac:dyDescent="0.3"/>
  <cols>
    <col min="1" max="1" width="2.33203125" customWidth="1"/>
    <col min="2" max="2" width="6.109375" bestFit="1" customWidth="1"/>
    <col min="3" max="3" width="34.5546875" bestFit="1" customWidth="1"/>
    <col min="4" max="4" width="12.6640625" bestFit="1" customWidth="1"/>
    <col min="5" max="5" width="13.33203125" bestFit="1" customWidth="1"/>
    <col min="6" max="6" width="10.44140625" bestFit="1" customWidth="1"/>
    <col min="7" max="7" width="5.33203125" bestFit="1" customWidth="1"/>
  </cols>
  <sheetData>
    <row r="1" spans="1:5" x14ac:dyDescent="0.3">
      <c r="A1" s="14" t="s">
        <v>63</v>
      </c>
    </row>
    <row r="2" spans="1:5" x14ac:dyDescent="0.3">
      <c r="A2" s="14" t="s">
        <v>64</v>
      </c>
    </row>
    <row r="3" spans="1:5" x14ac:dyDescent="0.3">
      <c r="A3" s="14" t="s">
        <v>65</v>
      </c>
    </row>
    <row r="4" spans="1:5" x14ac:dyDescent="0.3">
      <c r="A4" s="14" t="s">
        <v>66</v>
      </c>
    </row>
    <row r="5" spans="1:5" x14ac:dyDescent="0.3">
      <c r="A5" s="14" t="s">
        <v>67</v>
      </c>
    </row>
    <row r="6" spans="1:5" x14ac:dyDescent="0.3">
      <c r="A6" s="14"/>
      <c r="B6" t="s">
        <v>68</v>
      </c>
    </row>
    <row r="7" spans="1:5" x14ac:dyDescent="0.3">
      <c r="A7" s="14"/>
      <c r="B7" t="s">
        <v>69</v>
      </c>
    </row>
    <row r="8" spans="1:5" x14ac:dyDescent="0.3">
      <c r="A8" s="14"/>
      <c r="B8" t="s">
        <v>70</v>
      </c>
    </row>
    <row r="9" spans="1:5" x14ac:dyDescent="0.3">
      <c r="A9" s="14" t="s">
        <v>71</v>
      </c>
    </row>
    <row r="10" spans="1:5" x14ac:dyDescent="0.3">
      <c r="B10" t="s">
        <v>72</v>
      </c>
    </row>
    <row r="11" spans="1:5" x14ac:dyDescent="0.3">
      <c r="B11" t="s">
        <v>73</v>
      </c>
    </row>
    <row r="14" spans="1:5" ht="15" thickBot="1" x14ac:dyDescent="0.35">
      <c r="A14" t="s">
        <v>74</v>
      </c>
    </row>
    <row r="15" spans="1:5" ht="15" thickBot="1" x14ac:dyDescent="0.35">
      <c r="B15" s="16" t="s">
        <v>75</v>
      </c>
      <c r="C15" s="16" t="s">
        <v>76</v>
      </c>
      <c r="D15" s="16" t="s">
        <v>77</v>
      </c>
      <c r="E15" s="16" t="s">
        <v>78</v>
      </c>
    </row>
    <row r="16" spans="1:5" ht="15" thickBot="1" x14ac:dyDescent="0.35">
      <c r="B16" s="15" t="s">
        <v>86</v>
      </c>
      <c r="C16" s="15" t="s">
        <v>0</v>
      </c>
      <c r="D16" s="18">
        <v>0</v>
      </c>
      <c r="E16" s="18">
        <v>3600</v>
      </c>
    </row>
    <row r="19" spans="1:7" ht="15" thickBot="1" x14ac:dyDescent="0.35">
      <c r="A19" t="s">
        <v>79</v>
      </c>
    </row>
    <row r="20" spans="1:7" ht="15" thickBot="1" x14ac:dyDescent="0.35">
      <c r="B20" s="16" t="s">
        <v>75</v>
      </c>
      <c r="C20" s="16" t="s">
        <v>76</v>
      </c>
      <c r="D20" s="16" t="s">
        <v>77</v>
      </c>
      <c r="E20" s="16" t="s">
        <v>78</v>
      </c>
      <c r="F20" s="16" t="s">
        <v>80</v>
      </c>
    </row>
    <row r="21" spans="1:7" x14ac:dyDescent="0.3">
      <c r="B21" s="17" t="s">
        <v>87</v>
      </c>
      <c r="C21" s="17" t="s">
        <v>45</v>
      </c>
      <c r="D21" s="17">
        <v>0</v>
      </c>
      <c r="E21" s="17">
        <v>600</v>
      </c>
      <c r="F21" s="17" t="s">
        <v>88</v>
      </c>
    </row>
    <row r="22" spans="1:7" ht="15" thickBot="1" x14ac:dyDescent="0.35">
      <c r="B22" s="15" t="s">
        <v>89</v>
      </c>
      <c r="C22" s="15" t="s">
        <v>46</v>
      </c>
      <c r="D22" s="15">
        <v>0</v>
      </c>
      <c r="E22" s="15">
        <v>300</v>
      </c>
      <c r="F22" s="15" t="s">
        <v>88</v>
      </c>
    </row>
    <row r="25" spans="1:7" ht="15" thickBot="1" x14ac:dyDescent="0.35">
      <c r="A25" t="s">
        <v>81</v>
      </c>
    </row>
    <row r="26" spans="1:7" ht="15" thickBot="1" x14ac:dyDescent="0.35">
      <c r="B26" s="16" t="s">
        <v>75</v>
      </c>
      <c r="C26" s="16" t="s">
        <v>76</v>
      </c>
      <c r="D26" s="16" t="s">
        <v>82</v>
      </c>
      <c r="E26" s="16" t="s">
        <v>83</v>
      </c>
      <c r="F26" s="16" t="s">
        <v>84</v>
      </c>
      <c r="G26" s="16" t="s">
        <v>85</v>
      </c>
    </row>
    <row r="27" spans="1:7" x14ac:dyDescent="0.3">
      <c r="B27" s="17" t="s">
        <v>90</v>
      </c>
      <c r="C27" s="17" t="s">
        <v>91</v>
      </c>
      <c r="D27" s="17">
        <v>2400</v>
      </c>
      <c r="E27" s="17" t="s">
        <v>92</v>
      </c>
      <c r="F27" s="17" t="s">
        <v>93</v>
      </c>
      <c r="G27" s="17">
        <v>0</v>
      </c>
    </row>
    <row r="28" spans="1:7" x14ac:dyDescent="0.3">
      <c r="B28" s="17" t="s">
        <v>94</v>
      </c>
      <c r="C28" s="17" t="s">
        <v>95</v>
      </c>
      <c r="D28" s="17">
        <v>300</v>
      </c>
      <c r="E28" s="17" t="s">
        <v>96</v>
      </c>
      <c r="F28" s="17" t="s">
        <v>97</v>
      </c>
      <c r="G28" s="17">
        <v>500</v>
      </c>
    </row>
    <row r="29" spans="1:7" ht="15" thickBot="1" x14ac:dyDescent="0.35">
      <c r="B29" s="15" t="s">
        <v>98</v>
      </c>
      <c r="C29" s="15" t="s">
        <v>99</v>
      </c>
      <c r="D29" s="15">
        <v>1200</v>
      </c>
      <c r="E29" s="15" t="s">
        <v>100</v>
      </c>
      <c r="F29" s="15" t="s">
        <v>93</v>
      </c>
      <c r="G29" s="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6D4B-4A0B-400F-9E4F-B5E4A32B4BDA}">
  <dimension ref="A1:H17"/>
  <sheetViews>
    <sheetView showGridLines="0" workbookViewId="0">
      <selection activeCell="K12" sqref="K12"/>
    </sheetView>
  </sheetViews>
  <sheetFormatPr defaultRowHeight="14.4" x14ac:dyDescent="0.3"/>
  <cols>
    <col min="1" max="1" width="2.33203125" customWidth="1"/>
    <col min="2" max="2" width="6.109375" bestFit="1" customWidth="1"/>
    <col min="3" max="3" width="34.5546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12" bestFit="1" customWidth="1"/>
  </cols>
  <sheetData>
    <row r="1" spans="1:8" x14ac:dyDescent="0.3">
      <c r="A1" s="14" t="s">
        <v>101</v>
      </c>
    </row>
    <row r="2" spans="1:8" x14ac:dyDescent="0.3">
      <c r="A2" s="14" t="s">
        <v>64</v>
      </c>
    </row>
    <row r="3" spans="1:8" x14ac:dyDescent="0.3">
      <c r="A3" s="14" t="s">
        <v>65</v>
      </c>
    </row>
    <row r="6" spans="1:8" ht="15" thickBot="1" x14ac:dyDescent="0.35">
      <c r="A6" t="s">
        <v>79</v>
      </c>
    </row>
    <row r="7" spans="1:8" x14ac:dyDescent="0.3">
      <c r="B7" s="19"/>
      <c r="C7" s="19"/>
      <c r="D7" s="19" t="s">
        <v>102</v>
      </c>
      <c r="E7" s="19" t="s">
        <v>104</v>
      </c>
      <c r="F7" s="19" t="s">
        <v>106</v>
      </c>
      <c r="G7" s="19" t="s">
        <v>108</v>
      </c>
      <c r="H7" s="19" t="s">
        <v>108</v>
      </c>
    </row>
    <row r="8" spans="1:8" ht="15" thickBot="1" x14ac:dyDescent="0.35">
      <c r="B8" s="20" t="s">
        <v>75</v>
      </c>
      <c r="C8" s="20" t="s">
        <v>76</v>
      </c>
      <c r="D8" s="20" t="s">
        <v>103</v>
      </c>
      <c r="E8" s="20" t="s">
        <v>105</v>
      </c>
      <c r="F8" s="20" t="s">
        <v>107</v>
      </c>
      <c r="G8" s="20" t="s">
        <v>109</v>
      </c>
      <c r="H8" s="20" t="s">
        <v>110</v>
      </c>
    </row>
    <row r="9" spans="1:8" x14ac:dyDescent="0.3">
      <c r="B9" s="17" t="s">
        <v>87</v>
      </c>
      <c r="C9" s="17" t="s">
        <v>45</v>
      </c>
      <c r="D9" s="17">
        <v>600</v>
      </c>
      <c r="E9" s="17">
        <v>0</v>
      </c>
      <c r="F9" s="17">
        <v>5</v>
      </c>
      <c r="G9" s="17">
        <v>1E+30</v>
      </c>
      <c r="H9" s="17">
        <v>2</v>
      </c>
    </row>
    <row r="10" spans="1:8" ht="15" thickBot="1" x14ac:dyDescent="0.35">
      <c r="B10" s="15" t="s">
        <v>89</v>
      </c>
      <c r="C10" s="15" t="s">
        <v>46</v>
      </c>
      <c r="D10" s="15">
        <v>300</v>
      </c>
      <c r="E10" s="15">
        <v>0</v>
      </c>
      <c r="F10" s="15">
        <v>2</v>
      </c>
      <c r="G10" s="15">
        <v>1.3333333333333333</v>
      </c>
      <c r="H10" s="15">
        <v>2</v>
      </c>
    </row>
    <row r="12" spans="1:8" ht="15" thickBot="1" x14ac:dyDescent="0.35">
      <c r="A12" t="s">
        <v>81</v>
      </c>
    </row>
    <row r="13" spans="1:8" x14ac:dyDescent="0.3">
      <c r="B13" s="19"/>
      <c r="C13" s="19"/>
      <c r="D13" s="19" t="s">
        <v>102</v>
      </c>
      <c r="E13" s="19" t="s">
        <v>111</v>
      </c>
      <c r="F13" s="19" t="s">
        <v>1</v>
      </c>
      <c r="G13" s="19" t="s">
        <v>108</v>
      </c>
      <c r="H13" s="19" t="s">
        <v>108</v>
      </c>
    </row>
    <row r="14" spans="1:8" ht="15" thickBot="1" x14ac:dyDescent="0.35">
      <c r="B14" s="20" t="s">
        <v>75</v>
      </c>
      <c r="C14" s="20" t="s">
        <v>76</v>
      </c>
      <c r="D14" s="20" t="s">
        <v>103</v>
      </c>
      <c r="E14" s="20" t="s">
        <v>112</v>
      </c>
      <c r="F14" s="20" t="s">
        <v>113</v>
      </c>
      <c r="G14" s="20" t="s">
        <v>109</v>
      </c>
      <c r="H14" s="20" t="s">
        <v>110</v>
      </c>
    </row>
    <row r="15" spans="1:8" x14ac:dyDescent="0.3">
      <c r="B15" s="17" t="s">
        <v>90</v>
      </c>
      <c r="C15" s="17" t="s">
        <v>91</v>
      </c>
      <c r="D15" s="17">
        <v>2400</v>
      </c>
      <c r="E15" s="17">
        <v>1</v>
      </c>
      <c r="F15" s="17">
        <v>2400</v>
      </c>
      <c r="G15" s="17">
        <v>1000</v>
      </c>
      <c r="H15" s="17">
        <v>600</v>
      </c>
    </row>
    <row r="16" spans="1:8" x14ac:dyDescent="0.3">
      <c r="B16" s="17" t="s">
        <v>94</v>
      </c>
      <c r="C16" s="17" t="s">
        <v>95</v>
      </c>
      <c r="D16" s="17">
        <v>300</v>
      </c>
      <c r="E16" s="17">
        <v>0</v>
      </c>
      <c r="F16" s="17">
        <v>800</v>
      </c>
      <c r="G16" s="17">
        <v>1E+30</v>
      </c>
      <c r="H16" s="17">
        <v>500</v>
      </c>
    </row>
    <row r="17" spans="2:8" ht="15" thickBot="1" x14ac:dyDescent="0.35">
      <c r="B17" s="15" t="s">
        <v>98</v>
      </c>
      <c r="C17" s="15" t="s">
        <v>99</v>
      </c>
      <c r="D17" s="15">
        <v>1200</v>
      </c>
      <c r="E17" s="15">
        <v>1</v>
      </c>
      <c r="F17" s="15">
        <v>1200</v>
      </c>
      <c r="G17" s="15">
        <v>400</v>
      </c>
      <c r="H17" s="15">
        <v>666.66666666666663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zoomScale="83" workbookViewId="0">
      <selection activeCell="A13" sqref="A13:D13"/>
    </sheetView>
  </sheetViews>
  <sheetFormatPr defaultRowHeight="14.4" x14ac:dyDescent="0.3"/>
  <cols>
    <col min="1" max="1" width="38" customWidth="1"/>
    <col min="2" max="2" width="20" customWidth="1"/>
    <col min="3" max="3" width="14" customWidth="1"/>
    <col min="4" max="4" width="28" customWidth="1"/>
  </cols>
  <sheetData>
    <row r="1" spans="1:4" ht="28.05" customHeight="1" x14ac:dyDescent="0.3">
      <c r="A1" s="31" t="s">
        <v>11</v>
      </c>
      <c r="B1" s="32"/>
      <c r="C1" s="32"/>
      <c r="D1" s="32"/>
    </row>
    <row r="2" spans="1:4" ht="18" customHeight="1" x14ac:dyDescent="0.3">
      <c r="A2" s="36" t="s">
        <v>167</v>
      </c>
      <c r="B2" s="32"/>
      <c r="C2" s="32"/>
      <c r="D2" s="32"/>
    </row>
    <row r="3" spans="1:4" ht="19.95" customHeight="1" x14ac:dyDescent="0.3">
      <c r="A3" s="3" t="s">
        <v>45</v>
      </c>
      <c r="B3" s="1">
        <v>600</v>
      </c>
      <c r="C3" s="35"/>
      <c r="D3" s="32"/>
    </row>
    <row r="4" spans="1:4" ht="19.95" customHeight="1" x14ac:dyDescent="0.3">
      <c r="A4" s="3" t="s">
        <v>46</v>
      </c>
      <c r="B4" s="1">
        <v>300</v>
      </c>
      <c r="C4" s="35"/>
      <c r="D4" s="32"/>
    </row>
    <row r="5" spans="1:4" ht="6" customHeight="1" x14ac:dyDescent="0.3"/>
    <row r="6" spans="1:4" ht="19.95" customHeight="1" x14ac:dyDescent="0.3">
      <c r="A6" s="4" t="s">
        <v>0</v>
      </c>
      <c r="B6" s="5">
        <f>5*B3+2*B4</f>
        <v>3600</v>
      </c>
      <c r="C6" s="37"/>
      <c r="D6" s="32"/>
    </row>
    <row r="7" spans="1:4" ht="18" customHeight="1" x14ac:dyDescent="0.3">
      <c r="A7" s="6" t="s">
        <v>1</v>
      </c>
      <c r="B7" s="6" t="s">
        <v>2</v>
      </c>
      <c r="C7" s="6" t="s">
        <v>3</v>
      </c>
      <c r="D7" s="8"/>
    </row>
    <row r="8" spans="1:4" ht="18" customHeight="1" x14ac:dyDescent="0.3">
      <c r="A8" s="7" t="s">
        <v>47</v>
      </c>
      <c r="B8" s="2">
        <f>3*B3+2*B4</f>
        <v>2400</v>
      </c>
      <c r="C8" s="8">
        <v>2400</v>
      </c>
      <c r="D8" s="25"/>
    </row>
    <row r="9" spans="1:4" ht="18" customHeight="1" x14ac:dyDescent="0.3">
      <c r="A9" s="7" t="s">
        <v>48</v>
      </c>
      <c r="B9" s="2">
        <f>0*B3+1*B4</f>
        <v>300</v>
      </c>
      <c r="C9" s="8">
        <v>800</v>
      </c>
      <c r="D9" s="25"/>
    </row>
    <row r="10" spans="1:4" ht="18" customHeight="1" x14ac:dyDescent="0.3">
      <c r="A10" s="7" t="s">
        <v>49</v>
      </c>
      <c r="B10" s="2">
        <f>2*B3+0*B4</f>
        <v>1200</v>
      </c>
      <c r="C10" s="8">
        <v>1200</v>
      </c>
      <c r="D10" s="25"/>
    </row>
    <row r="11" spans="1:4" ht="16.05" customHeight="1" x14ac:dyDescent="0.3">
      <c r="A11" s="42"/>
      <c r="B11" s="32"/>
      <c r="C11" s="32"/>
      <c r="D11" s="32"/>
    </row>
    <row r="12" spans="1:4" ht="10.050000000000001" customHeight="1" x14ac:dyDescent="0.3"/>
    <row r="13" spans="1:4" ht="18" customHeight="1" x14ac:dyDescent="0.3">
      <c r="A13" s="43" t="s">
        <v>168</v>
      </c>
      <c r="B13" s="32"/>
      <c r="C13" s="32"/>
      <c r="D13" s="32"/>
    </row>
    <row r="14" spans="1:4" ht="19.95" customHeight="1" x14ac:dyDescent="0.3">
      <c r="A14" s="4" t="s">
        <v>50</v>
      </c>
      <c r="B14" s="9">
        <f>B3</f>
        <v>600</v>
      </c>
      <c r="C14" s="10" t="s">
        <v>51</v>
      </c>
    </row>
    <row r="15" spans="1:4" ht="19.95" customHeight="1" x14ac:dyDescent="0.3">
      <c r="A15" s="4" t="s">
        <v>52</v>
      </c>
      <c r="B15" s="9">
        <f>B4</f>
        <v>300</v>
      </c>
      <c r="C15" s="10" t="s">
        <v>51</v>
      </c>
    </row>
    <row r="16" spans="1:4" ht="19.95" customHeight="1" x14ac:dyDescent="0.3">
      <c r="A16" s="4" t="s">
        <v>4</v>
      </c>
      <c r="B16" s="5">
        <f>B6</f>
        <v>3600</v>
      </c>
      <c r="C16" s="10"/>
    </row>
    <row r="17" spans="1:4" ht="13.95" customHeight="1" x14ac:dyDescent="0.3"/>
    <row r="18" spans="1:4" ht="18" customHeight="1" x14ac:dyDescent="0.3">
      <c r="A18" s="36" t="s">
        <v>5</v>
      </c>
      <c r="B18" s="32"/>
      <c r="C18" s="32"/>
      <c r="D18" s="32"/>
    </row>
    <row r="19" spans="1:4" ht="16.05" customHeight="1" x14ac:dyDescent="0.3">
      <c r="A19" s="44" t="s">
        <v>6</v>
      </c>
      <c r="B19" s="32"/>
      <c r="C19" s="32"/>
      <c r="D19" s="32"/>
    </row>
    <row r="20" spans="1:4" ht="16.05" customHeight="1" x14ac:dyDescent="0.3">
      <c r="A20" s="45" t="s">
        <v>12</v>
      </c>
      <c r="B20" s="32"/>
      <c r="C20" s="32"/>
      <c r="D20" s="32"/>
    </row>
    <row r="21" spans="1:4" ht="16.05" customHeight="1" x14ac:dyDescent="0.3">
      <c r="A21" s="45" t="s">
        <v>13</v>
      </c>
      <c r="B21" s="32"/>
      <c r="C21" s="32"/>
      <c r="D21" s="32"/>
    </row>
    <row r="22" spans="1:4" ht="16.05" customHeight="1" x14ac:dyDescent="0.3">
      <c r="A22" s="46"/>
      <c r="B22" s="32"/>
      <c r="C22" s="32"/>
      <c r="D22" s="32"/>
    </row>
    <row r="23" spans="1:4" ht="16.05" customHeight="1" x14ac:dyDescent="0.3">
      <c r="A23" s="38" t="s">
        <v>53</v>
      </c>
      <c r="B23" s="32"/>
      <c r="C23" s="32"/>
      <c r="D23" s="32"/>
    </row>
    <row r="24" spans="1:4" ht="18" customHeight="1" x14ac:dyDescent="0.3">
      <c r="A24" s="11" t="s">
        <v>14</v>
      </c>
      <c r="B24" s="11" t="s">
        <v>15</v>
      </c>
      <c r="C24" s="11" t="s">
        <v>16</v>
      </c>
      <c r="D24" s="11" t="s">
        <v>54</v>
      </c>
    </row>
    <row r="25" spans="1:4" ht="16.05" customHeight="1" x14ac:dyDescent="0.3">
      <c r="A25" s="12" t="s">
        <v>17</v>
      </c>
      <c r="B25" s="13">
        <v>3</v>
      </c>
      <c r="C25" s="13">
        <v>2</v>
      </c>
      <c r="D25" s="13">
        <v>2400</v>
      </c>
    </row>
    <row r="26" spans="1:4" ht="16.05" customHeight="1" x14ac:dyDescent="0.3">
      <c r="A26" s="12" t="s">
        <v>18</v>
      </c>
      <c r="B26" s="13">
        <v>0</v>
      </c>
      <c r="C26" s="13">
        <v>1</v>
      </c>
      <c r="D26" s="13">
        <v>800</v>
      </c>
    </row>
    <row r="27" spans="1:4" ht="16.05" customHeight="1" x14ac:dyDescent="0.3">
      <c r="A27" s="12" t="s">
        <v>19</v>
      </c>
      <c r="B27" s="13">
        <v>2</v>
      </c>
      <c r="C27" s="13">
        <v>0</v>
      </c>
      <c r="D27" s="13">
        <v>1200</v>
      </c>
    </row>
    <row r="28" spans="1:4" ht="16.05" customHeight="1" x14ac:dyDescent="0.3">
      <c r="A28" s="12" t="s">
        <v>20</v>
      </c>
      <c r="B28" s="13" t="s">
        <v>21</v>
      </c>
      <c r="C28" s="13" t="s">
        <v>22</v>
      </c>
      <c r="D28" s="13" t="s">
        <v>7</v>
      </c>
    </row>
    <row r="30" spans="1:4" ht="16.05" customHeight="1" x14ac:dyDescent="0.3">
      <c r="A30" s="38" t="s">
        <v>55</v>
      </c>
      <c r="B30" s="32"/>
      <c r="C30" s="32"/>
      <c r="D30" s="32"/>
    </row>
    <row r="31" spans="1:4" ht="16.05" customHeight="1" x14ac:dyDescent="0.3">
      <c r="A31" s="33" t="s">
        <v>23</v>
      </c>
      <c r="B31" s="32"/>
      <c r="C31" s="32"/>
      <c r="D31" s="32"/>
    </row>
    <row r="32" spans="1:4" ht="16.05" customHeight="1" x14ac:dyDescent="0.3">
      <c r="A32" s="41"/>
      <c r="B32" s="32"/>
      <c r="C32" s="32"/>
      <c r="D32" s="32"/>
    </row>
    <row r="33" spans="1:4" ht="16.05" customHeight="1" x14ac:dyDescent="0.3">
      <c r="A33" s="38" t="s">
        <v>9</v>
      </c>
      <c r="B33" s="32"/>
      <c r="C33" s="32"/>
      <c r="D33" s="32"/>
    </row>
    <row r="34" spans="1:4" ht="16.05" customHeight="1" x14ac:dyDescent="0.3">
      <c r="A34" s="33" t="s">
        <v>56</v>
      </c>
      <c r="B34" s="32"/>
      <c r="C34" s="32"/>
      <c r="D34" s="32"/>
    </row>
    <row r="35" spans="1:4" ht="16.05" customHeight="1" x14ac:dyDescent="0.3">
      <c r="A35" s="33" t="s">
        <v>57</v>
      </c>
      <c r="B35" s="32"/>
      <c r="C35" s="32"/>
      <c r="D35" s="32"/>
    </row>
    <row r="36" spans="1:4" ht="16.05" customHeight="1" x14ac:dyDescent="0.3">
      <c r="A36" s="33" t="s">
        <v>58</v>
      </c>
      <c r="B36" s="32"/>
      <c r="C36" s="32"/>
      <c r="D36" s="32"/>
    </row>
    <row r="37" spans="1:4" ht="16.05" customHeight="1" x14ac:dyDescent="0.3">
      <c r="A37" s="41"/>
      <c r="B37" s="32"/>
      <c r="C37" s="32"/>
      <c r="D37" s="32"/>
    </row>
    <row r="38" spans="1:4" ht="16.05" customHeight="1" x14ac:dyDescent="0.3">
      <c r="A38" s="38" t="s">
        <v>10</v>
      </c>
      <c r="B38" s="32"/>
      <c r="C38" s="32"/>
      <c r="D38" s="32"/>
    </row>
    <row r="39" spans="1:4" ht="16.05" customHeight="1" x14ac:dyDescent="0.3">
      <c r="A39" s="41"/>
      <c r="B39" s="32"/>
      <c r="C39" s="32"/>
      <c r="D39" s="32"/>
    </row>
    <row r="40" spans="1:4" ht="16.05" customHeight="1" x14ac:dyDescent="0.3">
      <c r="A40" s="38" t="s">
        <v>147</v>
      </c>
      <c r="B40" s="32"/>
      <c r="C40" s="32"/>
      <c r="D40" s="32"/>
    </row>
    <row r="41" spans="1:4" ht="16.05" customHeight="1" x14ac:dyDescent="0.3">
      <c r="A41" s="41"/>
      <c r="B41" s="32"/>
      <c r="C41" s="32"/>
      <c r="D41" s="32"/>
    </row>
    <row r="42" spans="1:4" ht="16.05" customHeight="1" x14ac:dyDescent="0.3">
      <c r="A42" s="38" t="s">
        <v>59</v>
      </c>
      <c r="B42" s="32"/>
      <c r="C42" s="32"/>
      <c r="D42" s="32"/>
    </row>
    <row r="43" spans="1:4" ht="16.05" customHeight="1" x14ac:dyDescent="0.3">
      <c r="A43" s="33"/>
      <c r="B43" s="32"/>
      <c r="C43" s="32"/>
      <c r="D43" s="32"/>
    </row>
    <row r="44" spans="1:4" ht="16.05" customHeight="1" x14ac:dyDescent="0.3">
      <c r="A44" s="33" t="s">
        <v>60</v>
      </c>
      <c r="B44" s="32"/>
      <c r="C44" s="32"/>
      <c r="D44" s="32"/>
    </row>
    <row r="45" spans="1:4" ht="16.05" customHeight="1" x14ac:dyDescent="0.3">
      <c r="A45" s="33" t="s">
        <v>61</v>
      </c>
      <c r="B45" s="32"/>
      <c r="C45" s="32"/>
      <c r="D45" s="32"/>
    </row>
    <row r="46" spans="1:4" ht="16.05" customHeight="1" x14ac:dyDescent="0.3">
      <c r="A46" s="33" t="s">
        <v>62</v>
      </c>
      <c r="B46" s="32"/>
      <c r="C46" s="32"/>
      <c r="D46" s="32"/>
    </row>
  </sheetData>
  <mergeCells count="30">
    <mergeCell ref="A42:D42"/>
    <mergeCell ref="A43:D43"/>
    <mergeCell ref="A44:D44"/>
    <mergeCell ref="A45:D45"/>
    <mergeCell ref="A46:D46"/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21:D21"/>
    <mergeCell ref="A22:D22"/>
    <mergeCell ref="A23:D23"/>
    <mergeCell ref="A30:D30"/>
    <mergeCell ref="A31:D31"/>
    <mergeCell ref="A11:D11"/>
    <mergeCell ref="A13:D13"/>
    <mergeCell ref="A18:D18"/>
    <mergeCell ref="A19:D19"/>
    <mergeCell ref="A20:D20"/>
    <mergeCell ref="A1:D1"/>
    <mergeCell ref="A2:D2"/>
    <mergeCell ref="C3:D3"/>
    <mergeCell ref="C4:D4"/>
    <mergeCell ref="C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opLeftCell="A14" workbookViewId="0">
      <selection activeCell="I16" sqref="I16"/>
    </sheetView>
  </sheetViews>
  <sheetFormatPr defaultRowHeight="14.4" x14ac:dyDescent="0.3"/>
  <cols>
    <col min="1" max="1" width="38" customWidth="1"/>
    <col min="2" max="2" width="20" customWidth="1"/>
    <col min="3" max="3" width="14" customWidth="1"/>
    <col min="4" max="4" width="30" customWidth="1"/>
  </cols>
  <sheetData>
    <row r="1" spans="1:4" ht="30" customHeight="1" x14ac:dyDescent="0.3">
      <c r="A1" s="31" t="s">
        <v>24</v>
      </c>
      <c r="B1" s="32"/>
      <c r="C1" s="32"/>
      <c r="D1" s="32"/>
    </row>
    <row r="2" spans="1:4" x14ac:dyDescent="0.3">
      <c r="A2" s="47" t="s">
        <v>169</v>
      </c>
      <c r="B2" s="32"/>
      <c r="C2" s="32"/>
      <c r="D2" s="32"/>
    </row>
    <row r="3" spans="1:4" x14ac:dyDescent="0.3">
      <c r="A3" s="3" t="s">
        <v>114</v>
      </c>
      <c r="B3" s="1">
        <v>1.2727272727272727</v>
      </c>
      <c r="C3" s="35"/>
      <c r="D3" s="32"/>
    </row>
    <row r="4" spans="1:4" x14ac:dyDescent="0.3">
      <c r="A4" s="3" t="s">
        <v>115</v>
      </c>
      <c r="B4" s="1">
        <v>2.9090909090909092</v>
      </c>
      <c r="C4" s="35"/>
      <c r="D4" s="32"/>
    </row>
    <row r="6" spans="1:4" ht="26.4" x14ac:dyDescent="0.3">
      <c r="A6" s="21" t="s">
        <v>116</v>
      </c>
      <c r="B6" s="22">
        <f>8*B3+4*B4</f>
        <v>21.81818181818182</v>
      </c>
      <c r="C6" s="48"/>
      <c r="D6" s="32"/>
    </row>
    <row r="7" spans="1:4" x14ac:dyDescent="0.3">
      <c r="A7" s="6" t="s">
        <v>1</v>
      </c>
      <c r="B7" s="6" t="s">
        <v>117</v>
      </c>
      <c r="C7" s="6" t="s">
        <v>3</v>
      </c>
      <c r="D7" s="8"/>
    </row>
    <row r="8" spans="1:4" x14ac:dyDescent="0.3">
      <c r="A8" s="7" t="s">
        <v>118</v>
      </c>
      <c r="B8" s="2">
        <f>5*B3+15*B4</f>
        <v>50</v>
      </c>
      <c r="C8" s="8">
        <v>50</v>
      </c>
      <c r="D8" s="26"/>
    </row>
    <row r="9" spans="1:4" x14ac:dyDescent="0.3">
      <c r="A9" s="7" t="s">
        <v>119</v>
      </c>
      <c r="B9" s="2">
        <f>20*B3+5*B4</f>
        <v>40</v>
      </c>
      <c r="C9" s="8">
        <v>40</v>
      </c>
      <c r="D9" s="26"/>
    </row>
    <row r="10" spans="1:4" x14ac:dyDescent="0.3">
      <c r="A10" s="7" t="s">
        <v>120</v>
      </c>
      <c r="B10" s="2">
        <f>15*B3+2*B4</f>
        <v>24.909090909090907</v>
      </c>
      <c r="C10" s="8">
        <v>60</v>
      </c>
      <c r="D10" s="27"/>
    </row>
    <row r="11" spans="1:4" x14ac:dyDescent="0.3">
      <c r="A11" s="42"/>
      <c r="B11" s="32"/>
      <c r="C11" s="32"/>
      <c r="D11" s="32"/>
    </row>
    <row r="12" spans="1:4" x14ac:dyDescent="0.3">
      <c r="A12" s="48"/>
      <c r="B12" s="32"/>
      <c r="C12" s="32"/>
      <c r="D12" s="32"/>
    </row>
    <row r="14" spans="1:4" x14ac:dyDescent="0.3">
      <c r="A14" s="43" t="s">
        <v>168</v>
      </c>
      <c r="B14" s="32"/>
      <c r="C14" s="32"/>
      <c r="D14" s="32"/>
    </row>
    <row r="15" spans="1:4" x14ac:dyDescent="0.3">
      <c r="A15" s="4" t="s">
        <v>121</v>
      </c>
      <c r="B15" s="9">
        <f>B3</f>
        <v>1.2727272727272727</v>
      </c>
      <c r="C15" s="10" t="s">
        <v>122</v>
      </c>
    </row>
    <row r="16" spans="1:4" x14ac:dyDescent="0.3">
      <c r="A16" s="4" t="s">
        <v>123</v>
      </c>
      <c r="B16" s="9">
        <f>B4</f>
        <v>2.9090909090909092</v>
      </c>
      <c r="C16" s="10" t="s">
        <v>122</v>
      </c>
    </row>
    <row r="17" spans="1:4" x14ac:dyDescent="0.3">
      <c r="A17" s="4" t="s">
        <v>124</v>
      </c>
      <c r="B17" s="5">
        <f>B6</f>
        <v>21.81818181818182</v>
      </c>
      <c r="C17" s="10"/>
    </row>
    <row r="19" spans="1:4" x14ac:dyDescent="0.3">
      <c r="A19" s="36" t="s">
        <v>5</v>
      </c>
      <c r="B19" s="32"/>
      <c r="C19" s="32"/>
      <c r="D19" s="32"/>
    </row>
    <row r="20" spans="1:4" x14ac:dyDescent="0.3">
      <c r="A20" s="44" t="s">
        <v>6</v>
      </c>
      <c r="B20" s="32"/>
      <c r="C20" s="32"/>
      <c r="D20" s="32"/>
    </row>
    <row r="21" spans="1:4" x14ac:dyDescent="0.3">
      <c r="A21" s="45" t="s">
        <v>25</v>
      </c>
      <c r="B21" s="32"/>
      <c r="C21" s="32"/>
      <c r="D21" s="32"/>
    </row>
    <row r="22" spans="1:4" x14ac:dyDescent="0.3">
      <c r="A22" s="45" t="s">
        <v>26</v>
      </c>
      <c r="B22" s="32"/>
      <c r="C22" s="32"/>
      <c r="D22" s="32"/>
    </row>
    <row r="23" spans="1:4" x14ac:dyDescent="0.3">
      <c r="A23" s="46"/>
      <c r="B23" s="32"/>
      <c r="C23" s="32"/>
      <c r="D23" s="32"/>
    </row>
    <row r="24" spans="1:4" x14ac:dyDescent="0.3">
      <c r="A24" s="38" t="s">
        <v>125</v>
      </c>
      <c r="B24" s="32"/>
      <c r="C24" s="32"/>
      <c r="D24" s="32"/>
    </row>
    <row r="25" spans="1:4" x14ac:dyDescent="0.3">
      <c r="A25" s="11" t="s">
        <v>27</v>
      </c>
      <c r="B25" s="11" t="s">
        <v>28</v>
      </c>
      <c r="C25" s="11" t="s">
        <v>29</v>
      </c>
      <c r="D25" s="11" t="s">
        <v>30</v>
      </c>
    </row>
    <row r="26" spans="1:4" x14ac:dyDescent="0.3">
      <c r="A26" s="12" t="s">
        <v>31</v>
      </c>
      <c r="B26" s="13">
        <v>5</v>
      </c>
      <c r="C26" s="13">
        <v>15</v>
      </c>
      <c r="D26" s="13" t="s">
        <v>32</v>
      </c>
    </row>
    <row r="27" spans="1:4" x14ac:dyDescent="0.3">
      <c r="A27" s="12" t="s">
        <v>33</v>
      </c>
      <c r="B27" s="13">
        <v>20</v>
      </c>
      <c r="C27" s="13">
        <v>5</v>
      </c>
      <c r="D27" s="13" t="s">
        <v>34</v>
      </c>
    </row>
    <row r="28" spans="1:4" x14ac:dyDescent="0.3">
      <c r="A28" s="12" t="s">
        <v>35</v>
      </c>
      <c r="B28" s="13">
        <v>15</v>
      </c>
      <c r="C28" s="13">
        <v>2</v>
      </c>
      <c r="D28" s="13" t="s">
        <v>36</v>
      </c>
    </row>
    <row r="29" spans="1:4" x14ac:dyDescent="0.3">
      <c r="A29" s="12" t="s">
        <v>37</v>
      </c>
      <c r="B29" s="13" t="s">
        <v>38</v>
      </c>
      <c r="C29" s="13" t="s">
        <v>39</v>
      </c>
      <c r="D29" s="13" t="s">
        <v>7</v>
      </c>
    </row>
    <row r="31" spans="1:4" x14ac:dyDescent="0.3">
      <c r="A31" s="38" t="s">
        <v>55</v>
      </c>
      <c r="B31" s="32"/>
      <c r="C31" s="32"/>
      <c r="D31" s="32"/>
    </row>
    <row r="32" spans="1:4" x14ac:dyDescent="0.3">
      <c r="A32" s="33" t="s">
        <v>40</v>
      </c>
      <c r="B32" s="32"/>
      <c r="C32" s="32"/>
      <c r="D32" s="32"/>
    </row>
    <row r="33" spans="1:4" x14ac:dyDescent="0.3">
      <c r="A33" s="41"/>
      <c r="B33" s="32"/>
      <c r="C33" s="32"/>
      <c r="D33" s="32"/>
    </row>
    <row r="34" spans="1:4" x14ac:dyDescent="0.3">
      <c r="A34" s="38" t="s">
        <v>9</v>
      </c>
      <c r="B34" s="32"/>
      <c r="C34" s="32"/>
      <c r="D34" s="32"/>
    </row>
    <row r="35" spans="1:4" x14ac:dyDescent="0.3">
      <c r="A35" s="33" t="s">
        <v>126</v>
      </c>
      <c r="B35" s="32"/>
      <c r="C35" s="32"/>
      <c r="D35" s="32"/>
    </row>
    <row r="36" spans="1:4" x14ac:dyDescent="0.3">
      <c r="A36" s="33" t="s">
        <v>127</v>
      </c>
      <c r="B36" s="32"/>
      <c r="C36" s="32"/>
      <c r="D36" s="32"/>
    </row>
    <row r="37" spans="1:4" x14ac:dyDescent="0.3">
      <c r="A37" s="33" t="s">
        <v>128</v>
      </c>
      <c r="B37" s="32"/>
      <c r="C37" s="32"/>
      <c r="D37" s="32"/>
    </row>
    <row r="38" spans="1:4" x14ac:dyDescent="0.3">
      <c r="A38" s="41"/>
      <c r="B38" s="32"/>
      <c r="C38" s="32"/>
      <c r="D38" s="32"/>
    </row>
    <row r="39" spans="1:4" x14ac:dyDescent="0.3">
      <c r="A39" s="38" t="s">
        <v>10</v>
      </c>
      <c r="B39" s="32"/>
      <c r="C39" s="32"/>
      <c r="D39" s="32"/>
    </row>
    <row r="40" spans="1:4" x14ac:dyDescent="0.3">
      <c r="A40" s="41"/>
      <c r="B40" s="32"/>
      <c r="C40" s="32"/>
      <c r="D40" s="32"/>
    </row>
    <row r="41" spans="1:4" x14ac:dyDescent="0.3">
      <c r="A41" s="38" t="s">
        <v>147</v>
      </c>
      <c r="B41" s="32"/>
      <c r="C41" s="32"/>
      <c r="D41" s="32"/>
    </row>
  </sheetData>
  <mergeCells count="25"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21:D21"/>
    <mergeCell ref="A22:D22"/>
    <mergeCell ref="A23:D23"/>
    <mergeCell ref="A24:D24"/>
    <mergeCell ref="A31:D31"/>
    <mergeCell ref="A11:D11"/>
    <mergeCell ref="A12:D12"/>
    <mergeCell ref="A14:D14"/>
    <mergeCell ref="A19:D19"/>
    <mergeCell ref="A20:D20"/>
    <mergeCell ref="A1:D1"/>
    <mergeCell ref="A2:D2"/>
    <mergeCell ref="C3:D3"/>
    <mergeCell ref="C4:D4"/>
    <mergeCell ref="C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topLeftCell="A23" workbookViewId="0">
      <selection activeCell="F12" sqref="F12"/>
    </sheetView>
  </sheetViews>
  <sheetFormatPr defaultRowHeight="14.4" x14ac:dyDescent="0.3"/>
  <cols>
    <col min="1" max="1" width="36" customWidth="1"/>
    <col min="2" max="2" width="20" customWidth="1"/>
    <col min="3" max="3" width="12" customWidth="1"/>
    <col min="4" max="4" width="36" customWidth="1"/>
  </cols>
  <sheetData>
    <row r="1" spans="1:4" ht="28.05" customHeight="1" x14ac:dyDescent="0.3">
      <c r="A1" s="31" t="s">
        <v>41</v>
      </c>
      <c r="B1" s="32"/>
      <c r="C1" s="32"/>
      <c r="D1" s="32"/>
    </row>
    <row r="2" spans="1:4" ht="18" customHeight="1" x14ac:dyDescent="0.3">
      <c r="A2" s="36" t="s">
        <v>167</v>
      </c>
      <c r="B2" s="32"/>
      <c r="C2" s="32"/>
      <c r="D2" s="32"/>
    </row>
    <row r="3" spans="1:4" ht="19.95" customHeight="1" x14ac:dyDescent="0.3">
      <c r="A3" s="3" t="s">
        <v>129</v>
      </c>
      <c r="B3" s="1">
        <v>599.99999999999989</v>
      </c>
      <c r="C3" s="35"/>
      <c r="D3" s="32"/>
    </row>
    <row r="4" spans="1:4" ht="19.95" customHeight="1" x14ac:dyDescent="0.3">
      <c r="A4" s="3" t="s">
        <v>130</v>
      </c>
      <c r="B4" s="1">
        <v>400.00000000000006</v>
      </c>
      <c r="C4" s="35"/>
      <c r="D4" s="32"/>
    </row>
    <row r="5" spans="1:4" ht="6" customHeight="1" x14ac:dyDescent="0.3"/>
    <row r="6" spans="1:4" ht="19.95" customHeight="1" x14ac:dyDescent="0.3">
      <c r="A6" s="4" t="s">
        <v>0</v>
      </c>
      <c r="B6" s="5">
        <f>0.1*B3+0.05*B4</f>
        <v>80</v>
      </c>
      <c r="C6" s="49"/>
      <c r="D6" s="32"/>
    </row>
    <row r="7" spans="1:4" ht="18" customHeight="1" x14ac:dyDescent="0.3">
      <c r="A7" s="6" t="s">
        <v>1</v>
      </c>
      <c r="B7" s="6" t="s">
        <v>131</v>
      </c>
      <c r="C7" s="6" t="s">
        <v>3</v>
      </c>
      <c r="D7" s="8"/>
    </row>
    <row r="8" spans="1:4" ht="19.95" customHeight="1" x14ac:dyDescent="0.3">
      <c r="A8" s="7" t="s">
        <v>132</v>
      </c>
      <c r="B8" s="2">
        <f>B3+B4</f>
        <v>1000</v>
      </c>
      <c r="C8" s="23">
        <v>1000</v>
      </c>
      <c r="D8" s="28"/>
    </row>
    <row r="9" spans="1:4" ht="19.95" customHeight="1" x14ac:dyDescent="0.3">
      <c r="A9" s="7" t="s">
        <v>133</v>
      </c>
      <c r="B9" s="2">
        <f>0.7*B3-0.3*B4</f>
        <v>299.99999999999989</v>
      </c>
      <c r="C9" s="24">
        <v>0</v>
      </c>
      <c r="D9" s="28"/>
    </row>
    <row r="10" spans="1:4" ht="19.95" customHeight="1" x14ac:dyDescent="0.3">
      <c r="A10" s="7" t="s">
        <v>134</v>
      </c>
      <c r="B10" s="2">
        <f>B4</f>
        <v>400.00000000000006</v>
      </c>
      <c r="C10" s="23">
        <v>400</v>
      </c>
      <c r="D10" s="28"/>
    </row>
    <row r="11" spans="1:4" ht="16.05" customHeight="1" x14ac:dyDescent="0.3">
      <c r="A11" s="42"/>
      <c r="B11" s="32"/>
      <c r="C11" s="32"/>
      <c r="D11" s="32"/>
    </row>
    <row r="12" spans="1:4" ht="18" customHeight="1" x14ac:dyDescent="0.3">
      <c r="A12" s="50"/>
      <c r="B12" s="32"/>
      <c r="C12" s="32"/>
      <c r="D12" s="32"/>
    </row>
    <row r="13" spans="1:4" ht="10.050000000000001" customHeight="1" x14ac:dyDescent="0.3"/>
    <row r="14" spans="1:4" ht="18" customHeight="1" x14ac:dyDescent="0.3">
      <c r="A14" s="43" t="s">
        <v>170</v>
      </c>
      <c r="B14" s="32"/>
      <c r="C14" s="32"/>
      <c r="D14" s="32"/>
    </row>
    <row r="15" spans="1:4" ht="19.95" customHeight="1" x14ac:dyDescent="0.3">
      <c r="A15" s="4" t="s">
        <v>135</v>
      </c>
      <c r="B15" s="5">
        <f>B3</f>
        <v>599.99999999999989</v>
      </c>
      <c r="C15" s="10"/>
    </row>
    <row r="16" spans="1:4" ht="19.95" customHeight="1" x14ac:dyDescent="0.3">
      <c r="A16" s="4" t="s">
        <v>136</v>
      </c>
      <c r="B16" s="5">
        <f>B4</f>
        <v>400.00000000000006</v>
      </c>
      <c r="C16" s="10"/>
    </row>
    <row r="17" spans="1:4" ht="19.95" customHeight="1" x14ac:dyDescent="0.3">
      <c r="A17" s="4" t="s">
        <v>4</v>
      </c>
      <c r="B17" s="5">
        <f>B6</f>
        <v>80</v>
      </c>
      <c r="C17" s="10"/>
    </row>
    <row r="18" spans="1:4" ht="13.95" customHeight="1" x14ac:dyDescent="0.3"/>
    <row r="19" spans="1:4" ht="18" customHeight="1" x14ac:dyDescent="0.3">
      <c r="A19" s="36" t="s">
        <v>5</v>
      </c>
      <c r="B19" s="32"/>
      <c r="C19" s="32"/>
      <c r="D19" s="32"/>
    </row>
    <row r="20" spans="1:4" ht="16.05" customHeight="1" x14ac:dyDescent="0.3">
      <c r="A20" s="44" t="s">
        <v>6</v>
      </c>
      <c r="B20" s="32"/>
      <c r="C20" s="32"/>
      <c r="D20" s="32"/>
    </row>
    <row r="21" spans="1:4" ht="16.05" customHeight="1" x14ac:dyDescent="0.3">
      <c r="A21" s="45" t="s">
        <v>42</v>
      </c>
      <c r="B21" s="32"/>
      <c r="C21" s="32"/>
      <c r="D21" s="32"/>
    </row>
    <row r="22" spans="1:4" ht="16.05" customHeight="1" x14ac:dyDescent="0.3">
      <c r="A22" s="45" t="s">
        <v>43</v>
      </c>
      <c r="B22" s="32"/>
      <c r="C22" s="32"/>
      <c r="D22" s="32"/>
    </row>
    <row r="23" spans="1:4" ht="16.05" customHeight="1" x14ac:dyDescent="0.3">
      <c r="A23" s="46"/>
      <c r="B23" s="32"/>
      <c r="C23" s="32"/>
      <c r="D23" s="32"/>
    </row>
    <row r="24" spans="1:4" ht="16.05" customHeight="1" x14ac:dyDescent="0.3">
      <c r="A24" s="44" t="s">
        <v>137</v>
      </c>
      <c r="B24" s="32"/>
      <c r="C24" s="32"/>
      <c r="D24" s="32"/>
    </row>
    <row r="25" spans="1:4" ht="16.05" customHeight="1" x14ac:dyDescent="0.3">
      <c r="A25" s="45" t="s">
        <v>138</v>
      </c>
      <c r="B25" s="32"/>
      <c r="C25" s="32"/>
      <c r="D25" s="32"/>
    </row>
    <row r="26" spans="1:4" ht="16.05" customHeight="1" x14ac:dyDescent="0.3">
      <c r="A26" s="45" t="s">
        <v>139</v>
      </c>
      <c r="B26" s="32"/>
      <c r="C26" s="32"/>
      <c r="D26" s="32"/>
    </row>
    <row r="27" spans="1:4" ht="16.05" customHeight="1" x14ac:dyDescent="0.3">
      <c r="A27" s="45" t="s">
        <v>140</v>
      </c>
      <c r="B27" s="32"/>
      <c r="C27" s="32"/>
      <c r="D27" s="32"/>
    </row>
    <row r="28" spans="1:4" ht="16.05" customHeight="1" x14ac:dyDescent="0.3">
      <c r="A28" s="45" t="s">
        <v>141</v>
      </c>
      <c r="B28" s="32"/>
      <c r="C28" s="32"/>
      <c r="D28" s="32"/>
    </row>
    <row r="29" spans="1:4" ht="16.05" customHeight="1" x14ac:dyDescent="0.3">
      <c r="A29" s="45" t="s">
        <v>142</v>
      </c>
      <c r="B29" s="32"/>
      <c r="C29" s="32"/>
      <c r="D29" s="32"/>
    </row>
    <row r="30" spans="1:4" ht="16.05" customHeight="1" x14ac:dyDescent="0.3">
      <c r="A30" s="46"/>
      <c r="B30" s="32"/>
      <c r="C30" s="32"/>
      <c r="D30" s="32"/>
    </row>
    <row r="31" spans="1:4" ht="16.05" customHeight="1" x14ac:dyDescent="0.3">
      <c r="A31" s="38" t="s">
        <v>55</v>
      </c>
      <c r="B31" s="32"/>
      <c r="C31" s="32"/>
      <c r="D31" s="32"/>
    </row>
    <row r="32" spans="1:4" ht="16.05" customHeight="1" x14ac:dyDescent="0.3">
      <c r="A32" s="33" t="s">
        <v>44</v>
      </c>
      <c r="B32" s="32"/>
      <c r="C32" s="32"/>
      <c r="D32" s="32"/>
    </row>
    <row r="33" spans="1:4" ht="16.05" customHeight="1" x14ac:dyDescent="0.3">
      <c r="A33" s="41"/>
      <c r="B33" s="32"/>
      <c r="C33" s="32"/>
      <c r="D33" s="32"/>
    </row>
    <row r="34" spans="1:4" ht="16.05" customHeight="1" x14ac:dyDescent="0.3">
      <c r="A34" s="38" t="s">
        <v>9</v>
      </c>
      <c r="B34" s="32"/>
      <c r="C34" s="32"/>
      <c r="D34" s="32"/>
    </row>
    <row r="35" spans="1:4" ht="16.05" customHeight="1" x14ac:dyDescent="0.3">
      <c r="A35" s="33" t="s">
        <v>143</v>
      </c>
      <c r="B35" s="32"/>
      <c r="C35" s="32"/>
      <c r="D35" s="32"/>
    </row>
    <row r="36" spans="1:4" ht="16.05" customHeight="1" x14ac:dyDescent="0.3">
      <c r="A36" s="33" t="s">
        <v>144</v>
      </c>
      <c r="B36" s="32"/>
      <c r="C36" s="32"/>
      <c r="D36" s="32"/>
    </row>
    <row r="37" spans="1:4" ht="16.05" customHeight="1" x14ac:dyDescent="0.3">
      <c r="A37" s="33" t="s">
        <v>145</v>
      </c>
      <c r="B37" s="32"/>
      <c r="C37" s="32"/>
      <c r="D37" s="32"/>
    </row>
    <row r="38" spans="1:4" ht="16.05" customHeight="1" x14ac:dyDescent="0.3">
      <c r="A38" s="33" t="s">
        <v>146</v>
      </c>
      <c r="B38" s="32"/>
      <c r="C38" s="32"/>
      <c r="D38" s="32"/>
    </row>
    <row r="39" spans="1:4" ht="16.05" customHeight="1" x14ac:dyDescent="0.3">
      <c r="A39" s="41"/>
      <c r="B39" s="32"/>
      <c r="C39" s="32"/>
      <c r="D39" s="32"/>
    </row>
    <row r="40" spans="1:4" ht="16.05" customHeight="1" x14ac:dyDescent="0.3">
      <c r="A40" s="38" t="s">
        <v>10</v>
      </c>
      <c r="B40" s="32"/>
      <c r="C40" s="32"/>
      <c r="D40" s="32"/>
    </row>
    <row r="41" spans="1:4" ht="16.05" customHeight="1" x14ac:dyDescent="0.3">
      <c r="A41" s="41"/>
      <c r="B41" s="32"/>
      <c r="C41" s="32"/>
      <c r="D41" s="32"/>
    </row>
    <row r="42" spans="1:4" ht="16.05" customHeight="1" x14ac:dyDescent="0.3">
      <c r="A42" s="38" t="s">
        <v>147</v>
      </c>
      <c r="B42" s="32"/>
      <c r="C42" s="32"/>
      <c r="D42" s="32"/>
    </row>
  </sheetData>
  <mergeCells count="32">
    <mergeCell ref="A24:D24"/>
    <mergeCell ref="A25:D25"/>
    <mergeCell ref="A26:D26"/>
    <mergeCell ref="A20:D20"/>
    <mergeCell ref="A21:D21"/>
    <mergeCell ref="A22:D22"/>
    <mergeCell ref="A23:D23"/>
    <mergeCell ref="A27:D27"/>
    <mergeCell ref="A28:D28"/>
    <mergeCell ref="A29:D29"/>
    <mergeCell ref="A41:D41"/>
    <mergeCell ref="A42:D42"/>
    <mergeCell ref="A36:D36"/>
    <mergeCell ref="A37:D37"/>
    <mergeCell ref="A38:D38"/>
    <mergeCell ref="A39:D39"/>
    <mergeCell ref="A40:D40"/>
    <mergeCell ref="A31:D31"/>
    <mergeCell ref="A32:D32"/>
    <mergeCell ref="A33:D33"/>
    <mergeCell ref="A34:D34"/>
    <mergeCell ref="A35:D35"/>
    <mergeCell ref="A30:D30"/>
    <mergeCell ref="C6:D6"/>
    <mergeCell ref="A11:D11"/>
    <mergeCell ref="A19:D19"/>
    <mergeCell ref="A1:D1"/>
    <mergeCell ref="A2:D2"/>
    <mergeCell ref="C3:D3"/>
    <mergeCell ref="C4:D4"/>
    <mergeCell ref="A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Question1</vt:lpstr>
      <vt:lpstr>Answer Report 1</vt:lpstr>
      <vt:lpstr>Sensitivity Report 1</vt:lpstr>
      <vt:lpstr>Question2</vt:lpstr>
      <vt:lpstr>Question3</vt:lpstr>
      <vt:lpstr>Question4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Imam</dc:creator>
  <cp:lastModifiedBy>Zafar Imam</cp:lastModifiedBy>
  <dcterms:created xsi:type="dcterms:W3CDTF">2026-03-21T01:41:23Z</dcterms:created>
  <dcterms:modified xsi:type="dcterms:W3CDTF">2026-03-22T17:32:57Z</dcterms:modified>
</cp:coreProperties>
</file>